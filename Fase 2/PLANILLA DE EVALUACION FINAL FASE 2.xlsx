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anka\Downloads\"/>
    </mc:Choice>
  </mc:AlternateContent>
  <xr:revisionPtr revIDLastSave="0" documentId="13_ncr:1_{2D042401-59C2-4613-B6B7-5EF233862F8C}"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3" i="1" l="1"/>
  <c r="K63" i="1" s="1"/>
  <c r="H63" i="1"/>
  <c r="I63" i="1" s="1"/>
  <c r="G63" i="1"/>
  <c r="E63" i="1"/>
  <c r="B63" i="1"/>
  <c r="J62" i="1"/>
  <c r="K62" i="1" s="1"/>
  <c r="H62" i="1"/>
  <c r="I62" i="1" s="1"/>
  <c r="G62" i="1"/>
  <c r="G64" i="1" s="1"/>
  <c r="E62" i="1"/>
  <c r="E64" i="1" s="1"/>
  <c r="B62" i="1"/>
  <c r="J61" i="1"/>
  <c r="K61" i="1" s="1"/>
  <c r="H61" i="1"/>
  <c r="I61" i="1" s="1"/>
  <c r="G61" i="1"/>
  <c r="E61" i="1"/>
  <c r="B61" i="1"/>
  <c r="B53" i="1"/>
  <c r="B42" i="1"/>
  <c r="B52" i="1"/>
  <c r="B41" i="1"/>
  <c r="B51" i="1"/>
  <c r="B40" i="1"/>
  <c r="J53" i="1"/>
  <c r="K53" i="1" s="1"/>
  <c r="H53" i="1"/>
  <c r="I53" i="1" s="1"/>
  <c r="G53" i="1"/>
  <c r="E53" i="1"/>
  <c r="J52" i="1"/>
  <c r="K52" i="1" s="1"/>
  <c r="H52" i="1"/>
  <c r="I52" i="1" s="1"/>
  <c r="G52" i="1"/>
  <c r="E52" i="1"/>
  <c r="J51" i="1"/>
  <c r="K51" i="1" s="1"/>
  <c r="H51" i="1"/>
  <c r="I51" i="1" s="1"/>
  <c r="G51" i="1"/>
  <c r="E51" i="1"/>
  <c r="J42" i="1"/>
  <c r="K42" i="1" s="1"/>
  <c r="H42" i="1"/>
  <c r="I42" i="1" s="1"/>
  <c r="G42" i="1"/>
  <c r="E42" i="1"/>
  <c r="J41" i="1"/>
  <c r="K41" i="1" s="1"/>
  <c r="H41" i="1"/>
  <c r="I41" i="1" s="1"/>
  <c r="G41" i="1"/>
  <c r="E41" i="1"/>
  <c r="J40" i="1"/>
  <c r="K40" i="1" s="1"/>
  <c r="H40" i="1"/>
  <c r="I40" i="1" s="1"/>
  <c r="G40" i="1"/>
  <c r="E40" i="1"/>
  <c r="B28" i="1"/>
  <c r="E28" i="1"/>
  <c r="G28" i="1"/>
  <c r="H28" i="1"/>
  <c r="I28" i="1" s="1"/>
  <c r="J28" i="1"/>
  <c r="K28" i="1" s="1"/>
  <c r="B18" i="1"/>
  <c r="B30" i="1"/>
  <c r="I64" i="1" l="1"/>
  <c r="K64" i="1"/>
  <c r="C64" i="1" s="1"/>
  <c r="C65" i="1" s="1"/>
  <c r="G54" i="1"/>
  <c r="K54" i="1"/>
  <c r="K43" i="1"/>
  <c r="I54" i="1"/>
  <c r="G43" i="1"/>
  <c r="I43" i="1"/>
  <c r="E54" i="1"/>
  <c r="E43" i="1"/>
  <c r="B29" i="1"/>
  <c r="B14" i="1"/>
  <c r="B15" i="1"/>
  <c r="B16" i="1"/>
  <c r="B17" i="1"/>
  <c r="B19" i="1"/>
  <c r="B13" i="1"/>
  <c r="C47" i="1"/>
  <c r="C36" i="1"/>
  <c r="J29" i="1"/>
  <c r="K29" i="1" s="1"/>
  <c r="H29" i="1"/>
  <c r="I29" i="1" s="1"/>
  <c r="G29" i="1"/>
  <c r="E29" i="1"/>
  <c r="J30" i="1"/>
  <c r="K30" i="1" s="1"/>
  <c r="H30" i="1"/>
  <c r="I30" i="1" s="1"/>
  <c r="G30" i="1"/>
  <c r="E30" i="1"/>
  <c r="C43" i="1" l="1"/>
  <c r="C44" i="1" s="1"/>
  <c r="C54" i="1"/>
  <c r="C55" i="1" s="1"/>
  <c r="E31" i="1"/>
  <c r="G31" i="1"/>
  <c r="I31" i="1"/>
  <c r="K31" i="1"/>
  <c r="E13" i="1"/>
  <c r="E14" i="1"/>
  <c r="E15" i="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I14" i="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<sst xmlns="http://schemas.openxmlformats.org/spreadsheetml/2006/main" count="175" uniqueCount="83">
  <si>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</si>
  <si>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</si>
  <si>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</si>
  <si>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</si>
  <si>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</si>
  <si>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</si>
  <si>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</si>
  <si>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</si>
  <si>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</si>
  <si>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</si>
  <si>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</si>
  <si>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</si>
  <si>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</si>
  <si>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</si>
  <si>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</si>
  <si>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</si>
  <si>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</si>
  <si>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</si>
  <si>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</si>
  <si>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</si>
  <si>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</si>
  <si>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</si>
  <si>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</si>
  <si>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</si>
  <si>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</si>
  <si>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</si>
  <si>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</si>
  <si>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</si>
  <si>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</si>
  <si>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</si>
  <si>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</si>
  <si>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</si>
  <si>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</si>
  <si>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</si>
  <si>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</si>
  <si>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</si>
  <si>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</si>
  <si>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</si>
  <si>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</si>
  <si>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</si>
  <si>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</si>
  <si>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</si>
  <si>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</si>
  <si>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</si>
  <si>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</si>
  <si>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</si>
  <si>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</si>
  <si>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</si>
  <si>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</si>
  <si>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</si>
  <si>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</si>
  <si>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</si>
  <si>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</si>
  <si>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</si>
  <si>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</si>
  <si>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</si>
  <si>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</si>
  <si>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</si>
  <si>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</si>
  <si>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</si>
  <si>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</si>
  <si>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</si>
  <si>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</si>
  <si>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</si>
  <si>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</si>
  <si>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</si>
  <si>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</si>
  <si>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</si>
  <si>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</si>
  <si>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</si>
  <si>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</si>
  <si>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</si>
  <si>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</si>
  <si>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</si>
  <si>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</si>
  <si>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</si>
  <si>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</si>
  <si>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gutierrez</t>
  </si>
  <si>
    <t>Cribillero</t>
  </si>
  <si>
    <t>lopez</t>
  </si>
  <si>
    <t xml:space="preserve">veliz </t>
  </si>
  <si>
    <t>veliz</t>
  </si>
  <si>
    <t>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</si>
</sst>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xf numFmtId="0" fontId="14" fillId="0" borderId="16" xfId="0" applyFont="1" applyBorder="1" applyAlignment="1">
      <alignment horizontal="left"/>
    </xf>
    <xf numFmtId="164" fontId="0" fillId="2" borderId="2" xfId="0" applyNumberFormat="1" applyFill="1" applyBorder="1" applyAlignment="1">
      <alignment horizontal="center"/>
    </xf>
    <xf numFmtId="164" fontId="0" fillId="3" borderId="2" xfId="0" applyNumberFormat="1" applyFill="1" applyBorder="1" applyAlignment="1">
      <alignment horizontal="center"/>
    </xf>
    <xf numFmtId="0" fontId="14" fillId="0" borderId="24" xfId="0" applyFont="1" applyFill="1" applyBorder="1" applyAlignment="1">
      <alignment horizontal="left"/>
    </xf>
    <xf numFmtId="0" fontId="0" fillId="0" borderId="24" xfId="0"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G6" sqref="G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77</v>
      </c>
      <c r="C4" s="5">
        <f>EVALUACION1!$C$21</f>
        <v>5.4</v>
      </c>
      <c r="D4" s="5">
        <f>$C$32</f>
        <v>7</v>
      </c>
      <c r="E4" s="6">
        <f>C4*C$2+D4*D$2</f>
        <v>5.8000000000000007</v>
      </c>
      <c r="G4" s="1"/>
    </row>
    <row r="5" spans="1:11" x14ac:dyDescent="0.25">
      <c r="A5" s="4">
        <v>2</v>
      </c>
      <c r="B5" s="27" t="s">
        <v>78</v>
      </c>
      <c r="C5" s="5">
        <f>EVALUACION1!$C$21</f>
        <v>5.4</v>
      </c>
      <c r="D5" s="5">
        <f>C44</f>
        <v>7</v>
      </c>
      <c r="E5" s="6">
        <f t="shared" ref="E5:E6" si="0">C5*C$2+D5*D$2</f>
        <v>5.8000000000000007</v>
      </c>
      <c r="G5" s="1"/>
    </row>
    <row r="6" spans="1:11" x14ac:dyDescent="0.25">
      <c r="A6" s="4">
        <v>3</v>
      </c>
      <c r="B6" s="74" t="s">
        <v>79</v>
      </c>
      <c r="C6" s="75">
        <f>EVALUACION1!$C$21</f>
        <v>5.4</v>
      </c>
      <c r="D6" s="75">
        <f>C55</f>
        <v>7</v>
      </c>
      <c r="E6" s="76">
        <f t="shared" si="0"/>
        <v>5.8000000000000007</v>
      </c>
      <c r="G6" s="1"/>
    </row>
    <row r="7" spans="1:11" ht="15" customHeight="1" x14ac:dyDescent="0.25">
      <c r="A7" s="73">
        <v>4</v>
      </c>
      <c r="B7" s="77" t="s">
        <v>80</v>
      </c>
      <c r="C7" s="78">
        <v>5.4</v>
      </c>
      <c r="D7" s="78">
        <v>7</v>
      </c>
      <c r="E7" s="78" t="s">
        <v>82</v>
      </c>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c r="E13" s="16" t="str">
        <f>IF(D13="X",100*0.1,"")</f>
        <v/>
      </c>
      <c r="F13" s="16" t="s">
        <v>76</v>
      </c>
      <c r="G13" s="16">
        <f>IF(F13="X",60*0.1,"")</f>
        <v>6</v>
      </c>
      <c r="H13" s="16" t="str">
        <f t="shared" ref="H13:H16" si="1">IF($C13=ML,"X","")</f>
        <v/>
      </c>
      <c r="I13" s="16" t="str">
        <f>IF(H13="X",30*0.1,"")</f>
        <v/>
      </c>
      <c r="J13" s="16" t="str">
        <f t="shared" ref="J13:J16" si="2">IF($C13=NL,"X","")</f>
        <v/>
      </c>
      <c r="K13" s="16" t="str">
        <f t="shared" ref="K13:K16" si="3">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76</v>
      </c>
      <c r="G14" s="16">
        <f>IF(F14="X",60*0.2,"")</f>
        <v>12</v>
      </c>
      <c r="H14" s="16"/>
      <c r="I14" s="16" t="str">
        <f>IF(H14="X",30*0.2,"")</f>
        <v/>
      </c>
      <c r="J14" s="16" t="str">
        <f t="shared" si="2"/>
        <v/>
      </c>
      <c r="K14" s="16" t="str">
        <f t="shared" si="3"/>
        <v/>
      </c>
    </row>
    <row r="15" spans="1:11" ht="24" outlineLevel="1" x14ac:dyDescent="0.25">
      <c r="A15" s="70"/>
      <c r="B15" s="30" t="str">
        <f>RUBRICA!A7</f>
        <v>4. Relaciona el Proyecto APT con las competencias del perfil de egreso de su Plan de Estudio.</v>
      </c>
      <c r="C15" s="28" t="s">
        <v>63</v>
      </c>
      <c r="D15" s="16"/>
      <c r="E15" s="16" t="str">
        <f>IF(D15="X",100*0.05,"")</f>
        <v/>
      </c>
      <c r="F15" s="16" t="s">
        <v>76</v>
      </c>
      <c r="G15" s="16">
        <f>IF(F15="X",60*0.05,"")</f>
        <v>3</v>
      </c>
      <c r="H15" s="16" t="str">
        <f t="shared" si="1"/>
        <v/>
      </c>
      <c r="I15" s="16" t="str">
        <f>IF(H15="X",30*0.05,"")</f>
        <v/>
      </c>
      <c r="J15" s="16" t="str">
        <f t="shared" si="2"/>
        <v/>
      </c>
      <c r="K15" s="16" t="str">
        <f t="shared" si="3"/>
        <v/>
      </c>
    </row>
    <row r="16" spans="1:11" ht="24" outlineLevel="1" x14ac:dyDescent="0.25">
      <c r="A16" s="70"/>
      <c r="B16" s="30" t="str">
        <f>RUBRICA!A8</f>
        <v>5. Utiliza de manera precisa el lenguaje técnico en los entregables de acuerdo con lo requerido por la disciplina.</v>
      </c>
      <c r="C16" s="28" t="s">
        <v>63</v>
      </c>
      <c r="D16" s="16"/>
      <c r="E16" s="16" t="str">
        <f>IF(D16="X",100*0.05,"")</f>
        <v/>
      </c>
      <c r="F16" s="16" t="s">
        <v>76</v>
      </c>
      <c r="G16" s="16">
        <f>IF(F16="X",60*0.05,"")</f>
        <v>3</v>
      </c>
      <c r="H16" s="16" t="str">
        <f t="shared" si="1"/>
        <v/>
      </c>
      <c r="I16" s="16" t="str">
        <f>IF(H16="X",30*0.05,"")</f>
        <v/>
      </c>
      <c r="J16" s="16" t="str">
        <f t="shared" si="2"/>
        <v/>
      </c>
      <c r="K16" s="16" t="str">
        <f t="shared" si="3"/>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
        <v>76</v>
      </c>
      <c r="E17" s="16">
        <f>IF(D17="X",100*0.05,"")</f>
        <v>5</v>
      </c>
      <c r="F17" s="16"/>
      <c r="G17" s="16" t="str">
        <f>IF(F17="X",60*0.05,"")</f>
        <v/>
      </c>
      <c r="H17" s="16" t="str">
        <f>IF($C17=ML,"X","")</f>
        <v/>
      </c>
      <c r="I17" s="16" t="str">
        <f>IF(H17="X",30*0.05,"")</f>
        <v/>
      </c>
      <c r="J17" s="16" t="str">
        <f>IF($C17=NL,"X","")</f>
        <v/>
      </c>
      <c r="K17" s="16" t="str">
        <f t="shared" ref="K17:K19" si="4">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c r="G18" s="16" t="str">
        <f>IF(F18="X",60*0.15,"")</f>
        <v/>
      </c>
      <c r="H18" s="16" t="str">
        <f>IF($C18=ML,"X","")</f>
        <v/>
      </c>
      <c r="I18" s="16" t="str">
        <f>IF(H18="X",30*0.15,"")</f>
        <v/>
      </c>
      <c r="J18" s="16" t="str">
        <f>IF($C18=NL,"X","")</f>
        <v/>
      </c>
      <c r="K18" s="16" t="str">
        <f t="shared" si="4"/>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4"/>
        <v/>
      </c>
    </row>
    <row r="20" spans="1:11" ht="15.75" customHeight="1" outlineLevel="1" x14ac:dyDescent="0.3">
      <c r="A20" s="65"/>
      <c r="B20" s="29" t="s">
        <v>66</v>
      </c>
      <c r="C20" s="33">
        <f>E20+G20+I20+K20</f>
        <v>59</v>
      </c>
      <c r="D20" s="19"/>
      <c r="E20" s="19">
        <f>SUM(E13:E19)</f>
        <v>35</v>
      </c>
      <c r="F20" s="19"/>
      <c r="G20" s="19">
        <f>SUM(G13:G19)</f>
        <v>24</v>
      </c>
      <c r="H20" s="19"/>
      <c r="I20" s="19">
        <f>SUM(I13:I19)</f>
        <v>0</v>
      </c>
      <c r="J20" s="19"/>
      <c r="K20" s="19">
        <f>SUM(K13:K19)</f>
        <v>0</v>
      </c>
    </row>
    <row r="21" spans="1:11" ht="15.75" customHeight="1" outlineLevel="1" x14ac:dyDescent="0.3">
      <c r="A21" s="54"/>
      <c r="B21" s="32" t="s">
        <v>67</v>
      </c>
      <c r="C21" s="20">
        <f>VLOOKUP(C20,ESCALA_IEP!A1:B152,2,FALSE)</f>
        <v>5.4</v>
      </c>
    </row>
    <row r="22" spans="1:11" ht="15.75" customHeight="1" x14ac:dyDescent="0.25"/>
    <row r="23" spans="1:11" ht="15.75" customHeight="1" x14ac:dyDescent="0.25"/>
    <row r="24" spans="1:11" ht="15.75" customHeight="1" x14ac:dyDescent="0.25">
      <c r="A24" s="64" t="s">
        <v>59</v>
      </c>
      <c r="B24" s="53" t="s">
        <v>68</v>
      </c>
      <c r="C24" s="56" t="str">
        <f>$B$4</f>
        <v>gutierrez</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
        <v>76</v>
      </c>
      <c r="E28" s="16">
        <f>IF(D28="X",100*0.05,"")</f>
        <v>5</v>
      </c>
      <c r="F28" s="16"/>
      <c r="G28" s="16" t="str">
        <f>IF(F28="X",60*0.05,"")</f>
        <v/>
      </c>
      <c r="H28" s="16" t="str">
        <f t="shared" ref="H28:H30" si="5">IF($C28=ML,"X","")</f>
        <v/>
      </c>
      <c r="I28" s="16" t="str">
        <f>IF(H28="X",30*0.05,"")</f>
        <v/>
      </c>
      <c r="J28" s="16" t="str">
        <f t="shared" ref="J28:J30" si="6">IF($C28=NL,"X","")</f>
        <v/>
      </c>
      <c r="K28" s="16" t="str">
        <f t="shared" ref="K28:K30" si="7">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
        <v>76</v>
      </c>
      <c r="E29" s="16">
        <f>IF(D29="X",100*0.1,"")</f>
        <v>10</v>
      </c>
      <c r="F29" s="16"/>
      <c r="G29" s="16" t="str">
        <f>IF(F29="X",60*0.1,"")</f>
        <v/>
      </c>
      <c r="H29" s="16" t="str">
        <f t="shared" si="5"/>
        <v/>
      </c>
      <c r="I29" s="16" t="str">
        <f>IF(H29="X",30*0.1,"")</f>
        <v/>
      </c>
      <c r="J29" s="16" t="str">
        <f t="shared" si="6"/>
        <v/>
      </c>
      <c r="K29" s="16" t="str">
        <f t="shared" si="7"/>
        <v/>
      </c>
    </row>
    <row r="30" spans="1:11" ht="25.9" customHeight="1" x14ac:dyDescent="0.25">
      <c r="A30" s="65"/>
      <c r="B30" s="30" t="str">
        <f>RUBRICA!A13</f>
        <v>10. Colaboración y trabajo en equipo *</v>
      </c>
      <c r="C30" s="28" t="s">
        <v>63</v>
      </c>
      <c r="D30" s="16" t="s">
        <v>76</v>
      </c>
      <c r="E30" s="16">
        <f>IF(D30="X",100*0.1,"")</f>
        <v>10</v>
      </c>
      <c r="F30" s="16"/>
      <c r="G30" s="16" t="str">
        <f>IF(F30="X",60*0.1,"")</f>
        <v/>
      </c>
      <c r="H30" s="16" t="str">
        <f t="shared" si="5"/>
        <v/>
      </c>
      <c r="I30" s="16" t="str">
        <f>IF(H30="X",30*0.1,"")</f>
        <v/>
      </c>
      <c r="J30" s="16" t="str">
        <f t="shared" si="6"/>
        <v/>
      </c>
      <c r="K30" s="16" t="str">
        <f t="shared" si="7"/>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Cribillero</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
        <v>76</v>
      </c>
      <c r="E40" s="16">
        <f>IF(D40="X",100*0.05,"")</f>
        <v>5</v>
      </c>
      <c r="F40" s="16"/>
      <c r="G40" s="16" t="str">
        <f>IF(F40="X",60*0.05,"")</f>
        <v/>
      </c>
      <c r="H40" s="16" t="str">
        <f t="shared" ref="H40:H42" si="8">IF($C40=ML,"X","")</f>
        <v/>
      </c>
      <c r="I40" s="16" t="str">
        <f>IF(H40="X",30*0.05,"")</f>
        <v/>
      </c>
      <c r="J40" s="16" t="str">
        <f t="shared" ref="J40:J42" si="9">IF($C40=NL,"X","")</f>
        <v/>
      </c>
      <c r="K40" s="16" t="str">
        <f t="shared" ref="K40:K42" si="10">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
        <v>76</v>
      </c>
      <c r="E41" s="16">
        <f>IF(D41="X",100*0.1,"")</f>
        <v>10</v>
      </c>
      <c r="F41" s="16"/>
      <c r="G41" s="16" t="str">
        <f>IF(F41="X",60*0.1,"")</f>
        <v/>
      </c>
      <c r="H41" s="16" t="str">
        <f t="shared" si="8"/>
        <v/>
      </c>
      <c r="I41" s="16" t="str">
        <f>IF(H41="X",30*0.1,"")</f>
        <v/>
      </c>
      <c r="J41" s="16" t="str">
        <f t="shared" si="9"/>
        <v/>
      </c>
      <c r="K41" s="16" t="str">
        <f t="shared" si="10"/>
        <v/>
      </c>
    </row>
    <row r="42" spans="1:11" x14ac:dyDescent="0.25">
      <c r="A42" s="65"/>
      <c r="B42" s="30" t="str">
        <f>RUBRICA!A13</f>
        <v>10. Colaboración y trabajo en equipo *</v>
      </c>
      <c r="C42" s="28" t="s">
        <v>63</v>
      </c>
      <c r="D42" s="16" t="s">
        <v>76</v>
      </c>
      <c r="E42" s="16">
        <f>IF(D42="X",100*0.1,"")</f>
        <v>10</v>
      </c>
      <c r="F42" s="16"/>
      <c r="G42" s="16" t="str">
        <f>IF(F42="X",60*0.1,"")</f>
        <v/>
      </c>
      <c r="H42" s="16" t="str">
        <f t="shared" si="8"/>
        <v/>
      </c>
      <c r="I42" s="16" t="str">
        <f>IF(H42="X",30*0.1,"")</f>
        <v/>
      </c>
      <c r="J42" s="16" t="str">
        <f t="shared" si="9"/>
        <v/>
      </c>
      <c r="K42" s="16" t="str">
        <f t="shared" si="10"/>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lopez</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
        <v>76</v>
      </c>
      <c r="E51" s="16">
        <f>IF(D51="X",100*0.05,"")</f>
        <v>5</v>
      </c>
      <c r="F51" s="16"/>
      <c r="G51" s="16" t="str">
        <f>IF(F51="X",60*0.05,"")</f>
        <v/>
      </c>
      <c r="H51" s="16" t="str">
        <f t="shared" ref="H51:H53" si="11">IF($C51=ML,"X","")</f>
        <v/>
      </c>
      <c r="I51" s="16" t="str">
        <f>IF(H51="X",30*0.05,"")</f>
        <v/>
      </c>
      <c r="J51" s="16" t="str">
        <f t="shared" ref="J51:J53" si="12">IF($C51=NL,"X","")</f>
        <v/>
      </c>
      <c r="K51" s="16" t="str">
        <f t="shared" ref="K51:K53" si="13">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
        <v>76</v>
      </c>
      <c r="E52" s="16">
        <f>IF(D52="X",100*0.1,"")</f>
        <v>10</v>
      </c>
      <c r="F52" s="16"/>
      <c r="G52" s="16" t="str">
        <f>IF(F52="X",60*0.1,"")</f>
        <v/>
      </c>
      <c r="H52" s="16" t="str">
        <f t="shared" si="11"/>
        <v/>
      </c>
      <c r="I52" s="16" t="str">
        <f>IF(H52="X",30*0.1,"")</f>
        <v/>
      </c>
      <c r="J52" s="16" t="str">
        <f t="shared" si="12"/>
        <v/>
      </c>
      <c r="K52" s="16" t="str">
        <f t="shared" si="13"/>
        <v/>
      </c>
    </row>
    <row r="53" spans="1:11" x14ac:dyDescent="0.25">
      <c r="A53" s="65"/>
      <c r="B53" s="30" t="str">
        <f>RUBRICA!A13</f>
        <v>10. Colaboración y trabajo en equipo *</v>
      </c>
      <c r="C53" s="28" t="s">
        <v>63</v>
      </c>
      <c r="D53" s="16" t="s">
        <v>76</v>
      </c>
      <c r="E53" s="16">
        <f>IF(D53="X",100*0.1,"")</f>
        <v>10</v>
      </c>
      <c r="F53" s="16"/>
      <c r="G53" s="16" t="str">
        <f>IF(F53="X",60*0.1,"")</f>
        <v/>
      </c>
      <c r="H53" s="16" t="str">
        <f t="shared" si="11"/>
        <v/>
      </c>
      <c r="I53" s="16" t="str">
        <f>IF(H53="X",30*0.1,"")</f>
        <v/>
      </c>
      <c r="J53" s="16" t="str">
        <f t="shared" si="12"/>
        <v/>
      </c>
      <c r="K53" s="16" t="str">
        <f t="shared" si="13"/>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8.75" customHeight="1" x14ac:dyDescent="0.25">
      <c r="A57" s="64" t="s">
        <v>59</v>
      </c>
      <c r="B57" s="53" t="s">
        <v>68</v>
      </c>
      <c r="C57" s="56" t="s">
        <v>81</v>
      </c>
      <c r="D57" s="57"/>
      <c r="E57" s="57"/>
      <c r="F57" s="57"/>
      <c r="G57" s="57"/>
      <c r="H57" s="57"/>
      <c r="I57" s="57"/>
      <c r="J57" s="57"/>
      <c r="K57" s="58"/>
    </row>
    <row r="58" spans="1:11" ht="15.75" customHeight="1" x14ac:dyDescent="0.25">
      <c r="A58" s="65"/>
      <c r="B58" s="54"/>
      <c r="C58" s="59"/>
      <c r="D58" s="60"/>
      <c r="E58" s="60"/>
      <c r="F58" s="60"/>
      <c r="G58" s="60"/>
      <c r="H58" s="60"/>
      <c r="I58" s="60"/>
      <c r="J58" s="60"/>
      <c r="K58" s="61"/>
    </row>
    <row r="59" spans="1:11" ht="15.75" customHeight="1" x14ac:dyDescent="0.25">
      <c r="A59" s="65"/>
      <c r="B59" s="14" t="s">
        <v>69</v>
      </c>
      <c r="C59" s="55" t="s">
        <v>60</v>
      </c>
      <c r="D59" s="62" t="s">
        <v>61</v>
      </c>
      <c r="E59" s="67"/>
      <c r="F59" s="67"/>
      <c r="G59" s="67"/>
      <c r="H59" s="67"/>
      <c r="I59" s="67"/>
      <c r="J59" s="67"/>
      <c r="K59" s="63"/>
    </row>
    <row r="60" spans="1:11" ht="15.75" customHeight="1" x14ac:dyDescent="0.25">
      <c r="A60" s="65"/>
      <c r="B60" s="15" t="s">
        <v>62</v>
      </c>
      <c r="C60" s="54"/>
      <c r="D60" s="62" t="s">
        <v>63</v>
      </c>
      <c r="E60" s="63"/>
      <c r="F60" s="62" t="s">
        <v>64</v>
      </c>
      <c r="G60" s="63"/>
      <c r="H60" s="66" t="s">
        <v>65</v>
      </c>
      <c r="I60" s="63"/>
      <c r="J60" s="62" t="s">
        <v>6</v>
      </c>
      <c r="K60" s="63"/>
    </row>
    <row r="61" spans="1:11" ht="15.75" customHeight="1" x14ac:dyDescent="0.25">
      <c r="A61" s="65"/>
      <c r="B61" s="30">
        <f>RUBRICA!A16</f>
        <v>0</v>
      </c>
      <c r="C61" s="28" t="s">
        <v>63</v>
      </c>
      <c r="D61" s="16" t="s">
        <v>76</v>
      </c>
      <c r="E61" s="16">
        <f>IF(D61="X",100*0.05,"")</f>
        <v>5</v>
      </c>
      <c r="F61" s="16"/>
      <c r="G61" s="16" t="str">
        <f>IF(F61="X",60*0.05,"")</f>
        <v/>
      </c>
      <c r="H61" s="16" t="str">
        <f t="shared" ref="H61:H63" si="14">IF($C61=ML,"X","")</f>
        <v/>
      </c>
      <c r="I61" s="16" t="str">
        <f>IF(H61="X",30*0.05,"")</f>
        <v/>
      </c>
      <c r="J61" s="16" t="str">
        <f t="shared" ref="J61:J63" si="15">IF($C61=NL,"X","")</f>
        <v/>
      </c>
      <c r="K61" s="16" t="str">
        <f t="shared" ref="K61:K63" si="16">IF($J61="X",0,"")</f>
        <v/>
      </c>
    </row>
    <row r="62" spans="1:11" ht="15.75" customHeight="1" x14ac:dyDescent="0.25">
      <c r="A62" s="65"/>
      <c r="B62" s="30">
        <f>RUBRICA!A21</f>
        <v>0</v>
      </c>
      <c r="C62" s="28" t="s">
        <v>63</v>
      </c>
      <c r="D62" s="16" t="s">
        <v>76</v>
      </c>
      <c r="E62" s="16">
        <f>IF(D62="X",100*0.1,"")</f>
        <v>10</v>
      </c>
      <c r="F62" s="16"/>
      <c r="G62" s="16" t="str">
        <f>IF(F62="X",60*0.1,"")</f>
        <v/>
      </c>
      <c r="H62" s="16" t="str">
        <f t="shared" si="14"/>
        <v/>
      </c>
      <c r="I62" s="16" t="str">
        <f>IF(H62="X",30*0.1,"")</f>
        <v/>
      </c>
      <c r="J62" s="16" t="str">
        <f t="shared" si="15"/>
        <v/>
      </c>
      <c r="K62" s="16" t="str">
        <f t="shared" si="16"/>
        <v/>
      </c>
    </row>
    <row r="63" spans="1:11" ht="15.75" customHeight="1" x14ac:dyDescent="0.25">
      <c r="A63" s="65"/>
      <c r="B63" s="30">
        <f>RUBRICA!A23</f>
        <v>0</v>
      </c>
      <c r="C63" s="28" t="s">
        <v>63</v>
      </c>
      <c r="D63" s="16" t="s">
        <v>76</v>
      </c>
      <c r="E63" s="16">
        <f>IF(D63="X",100*0.1,"")</f>
        <v>10</v>
      </c>
      <c r="F63" s="16"/>
      <c r="G63" s="16" t="str">
        <f>IF(F63="X",60*0.1,"")</f>
        <v/>
      </c>
      <c r="H63" s="16" t="str">
        <f t="shared" si="14"/>
        <v/>
      </c>
      <c r="I63" s="16" t="str">
        <f>IF(H63="X",30*0.1,"")</f>
        <v/>
      </c>
      <c r="J63" s="16" t="str">
        <f t="shared" si="15"/>
        <v/>
      </c>
      <c r="K63" s="16" t="str">
        <f t="shared" si="16"/>
        <v/>
      </c>
    </row>
    <row r="64" spans="1:11" ht="15.75" customHeight="1" x14ac:dyDescent="0.3">
      <c r="A64" s="65"/>
      <c r="B64" s="21" t="s">
        <v>70</v>
      </c>
      <c r="C64" s="18">
        <f>E64+G64+I64+K64</f>
        <v>25</v>
      </c>
      <c r="D64" s="19"/>
      <c r="E64" s="19">
        <f>SUM(E61:E63)</f>
        <v>25</v>
      </c>
      <c r="F64" s="19"/>
      <c r="G64" s="19">
        <f>SUM(G61:G63)</f>
        <v>0</v>
      </c>
      <c r="H64" s="19"/>
      <c r="I64" s="19">
        <f>SUM(I61:I63)</f>
        <v>0</v>
      </c>
      <c r="J64" s="19"/>
      <c r="K64" s="19">
        <f>SUM(K62:K63)</f>
        <v>0</v>
      </c>
    </row>
    <row r="65" spans="1:3" ht="15.75" customHeight="1" x14ac:dyDescent="0.3">
      <c r="A65" s="54"/>
      <c r="B65" s="17" t="s">
        <v>67</v>
      </c>
      <c r="C65" s="20">
        <f>VLOOKUP(C64,ESCALA_TRAB_EQUIP!A11:B62,2,FALSE)</f>
        <v>7</v>
      </c>
    </row>
    <row r="66" spans="1:3" ht="15.75" customHeight="1" x14ac:dyDescent="0.3"/>
    <row r="67" spans="1:3" ht="15.75" customHeight="1" x14ac:dyDescent="0.25"/>
    <row r="68" spans="1:3" ht="15.75" customHeight="1" x14ac:dyDescent="0.25"/>
    <row r="69" spans="1:3" ht="15.75" customHeight="1" x14ac:dyDescent="0.25"/>
    <row r="70" spans="1:3" ht="15.75" customHeight="1" x14ac:dyDescent="0.25"/>
    <row r="71" spans="1:3" ht="15.75" customHeight="1" x14ac:dyDescent="0.25"/>
    <row r="72" spans="1:3" ht="15.75" customHeight="1" x14ac:dyDescent="0.25"/>
    <row r="73" spans="1:3" ht="15.75" customHeight="1" x14ac:dyDescent="0.25"/>
    <row r="74" spans="1:3" ht="15.75" customHeight="1" x14ac:dyDescent="0.25"/>
    <row r="75" spans="1:3" ht="15.75" customHeight="1" x14ac:dyDescent="0.25"/>
    <row r="76" spans="1:3" ht="15.75" customHeight="1" x14ac:dyDescent="0.25"/>
    <row r="77" spans="1:3" ht="15.75" customHeight="1" x14ac:dyDescent="0.25"/>
    <row r="78" spans="1:3" ht="15.75" customHeight="1" x14ac:dyDescent="0.25"/>
    <row r="79" spans="1:3" ht="15.75" customHeight="1" x14ac:dyDescent="0.25"/>
    <row r="80" spans="1:3"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44">
    <mergeCell ref="H60:I60"/>
    <mergeCell ref="J60:K60"/>
    <mergeCell ref="A57:A65"/>
    <mergeCell ref="B57:B58"/>
    <mergeCell ref="C57:K58"/>
    <mergeCell ref="C59:C60"/>
    <mergeCell ref="D59:K59"/>
    <mergeCell ref="D60:E60"/>
    <mergeCell ref="F60:G60"/>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2025-12-08T19:02:56Z</dcterms:modified>
  <cp:category/>
  <cp:contentStatus/>
</cp:coreProperties>
</file>
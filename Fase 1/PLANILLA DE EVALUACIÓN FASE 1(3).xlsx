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anka\Downloads\"/>
    </mc:Choice>
  </mc:AlternateContent>
  <xr:revisionPtr revIDLastSave="0" documentId="13_ncr:1_{FF514D07-F866-41B8-A56E-0C50CEA86A15}" xr6:coauthVersionLast="47" xr6:coauthVersionMax="47" xr10:uidLastSave="{00000000-0000-0000-0000-000000000000}"/>
  <bookViews>
    <workbookView xWindow="330" yWindow="3555" windowWidth="21600" windowHeight="1129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G54" i="1"/>
  <c r="E54" i="1"/>
  <c r="J45" i="1"/>
  <c r="K45" i="1" s="1"/>
  <c r="H45" i="1"/>
  <c r="I45" i="1" s="1"/>
  <c r="F45" i="1"/>
  <c r="G45" i="1" s="1"/>
  <c r="D45" i="1"/>
  <c r="E45" i="1" s="1"/>
  <c r="J44" i="1"/>
  <c r="K44" i="1" s="1"/>
  <c r="H44" i="1"/>
  <c r="I44" i="1" s="1"/>
  <c r="F44" i="1"/>
  <c r="G44" i="1" s="1"/>
  <c r="D44" i="1"/>
  <c r="E44" i="1" s="1"/>
  <c r="J43" i="1"/>
  <c r="K43" i="1" s="1"/>
  <c r="H43" i="1"/>
  <c r="I43" i="1" s="1"/>
  <c r="G43" i="1"/>
  <c r="E43" i="1"/>
  <c r="D19" i="1"/>
  <c r="E19" i="1" s="1"/>
  <c r="F19" i="1"/>
  <c r="G19" i="1" s="1"/>
  <c r="H19" i="1"/>
  <c r="I19" i="1" s="1"/>
  <c r="J19" i="1"/>
  <c r="K19" i="1" s="1"/>
  <c r="D17" i="1"/>
  <c r="E17" i="1" s="1"/>
  <c r="F17" i="1"/>
  <c r="G17" i="1" s="1"/>
  <c r="H17" i="1"/>
  <c r="I17" i="1" s="1"/>
  <c r="J17" i="1"/>
  <c r="K17" i="1" s="1"/>
  <c r="G31" i="1"/>
  <c r="H31" i="1"/>
  <c r="I31" i="1" s="1"/>
  <c r="J31" i="1"/>
  <c r="K31" i="1" s="1"/>
  <c r="G14" i="1"/>
  <c r="H14" i="1"/>
  <c r="I14" i="1" s="1"/>
  <c r="J14" i="1"/>
  <c r="K14" i="1" s="1"/>
  <c r="J33" i="1"/>
  <c r="K33" i="1" s="1"/>
  <c r="H33" i="1"/>
  <c r="I33" i="1" s="1"/>
  <c r="F33" i="1"/>
  <c r="G33" i="1" s="1"/>
  <c r="D33" i="1"/>
  <c r="E33" i="1" s="1"/>
  <c r="C50" i="1"/>
  <c r="C39" i="1"/>
  <c r="B56" i="1"/>
  <c r="B55" i="1"/>
  <c r="B54" i="1"/>
  <c r="B45" i="1"/>
  <c r="B44" i="1"/>
  <c r="B43" i="1"/>
  <c r="D57" i="1"/>
  <c r="B32" i="1"/>
  <c r="B31" i="1"/>
  <c r="E31" i="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G15" i="1"/>
  <c r="J13" i="1"/>
  <c r="K13" i="1" s="1"/>
  <c r="H13" i="1"/>
  <c r="I13" i="1" s="1"/>
  <c r="G13" i="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<sst xmlns="http://schemas.openxmlformats.org/spreadsheetml/2006/main" count="163" uniqueCount="99">
  <si>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</si>
  <si>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</si>
  <si>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</si>
  <si>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</si>
  <si>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</si>
  <si>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</si>
  <si>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</si>
  <si>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</si>
  <si>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</si>
  <si>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</si>
  <si>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</si>
  <si>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</si>
  <si>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</si>
  <si>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</si>
  <si>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</si>
  <si>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</si>
  <si>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</si>
  <si>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</si>
  <si>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</si>
  <si>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</si>
  <si>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</si>
  <si>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</si>
  <si>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</si>
  <si>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</si>
  <si>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</si>
  <si>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</si>
  <si>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</si>
  <si>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</si>
  <si>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</si>
  <si>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</si>
  <si>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</si>
  <si>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</si>
  <si>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</si>
  <si>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</si>
  <si>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</si>
  <si>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</si>
  <si>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</si>
  <si>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</si>
  <si>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</si>
  <si>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</si>
  <si>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</si>
  <si>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</si>
  <si>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</si>
  <si>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</si>
  <si>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</si>
  <si>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</si>
  <si>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</si>
  <si>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</si>
  <si>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</si>
  <si>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</si>
  <si>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</si>
  <si>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</si>
  <si>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</si>
  <si>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</si>
  <si>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</si>
  <si>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</si>
  <si>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</si>
  <si>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</si>
  <si>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</si>
  <si>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</si>
  <si>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</si>
  <si>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</si>
  <si>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</si>
  <si>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</si>
  <si>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</si>
  <si>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</si>
  <si>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</si>
  <si>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</si>
  <si>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</si>
  <si>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</si>
  <si>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</si>
  <si>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</si>
  <si>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</si>
  <si>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</si>
  <si>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</si>
  <si>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</si>
  <si>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</si>
  <si>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</si>
  <si>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</si>
  <si>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</si>
  <si>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</si>
  <si>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</si>
  <si>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</si>
  <si>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</si>
  <si>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</si>
  <si>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</si>
  <si>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</si>
  <si>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</si>
  <si>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</si>
  <si>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</si>
  <si>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</si>
  <si>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</si>
  <si>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</si>
  <si>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</si>
  <si>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</si>
  <si>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Gutierrez</t>
  </si>
  <si>
    <t>cribillero</t>
  </si>
  <si>
    <t xml:space="preserve">lopez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</si>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</sst>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F55" sqref="F5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6.1</v>
      </c>
      <c r="D4" s="6">
        <f>$C$35</f>
        <v>6</v>
      </c>
      <c r="E4" s="43">
        <f>C4*C$2+D4*D$2</f>
        <v>6.0749999999999993</v>
      </c>
      <c r="G4" s="1"/>
    </row>
    <row r="5" spans="1:11" x14ac:dyDescent="0.25">
      <c r="A5" s="5">
        <v>2</v>
      </c>
      <c r="B5" s="32" t="s">
        <v>96</v>
      </c>
      <c r="C5" s="6">
        <f>EVALUACION1!$C$24</f>
        <v>6.1</v>
      </c>
      <c r="D5" s="6">
        <f>C47</f>
        <v>6</v>
      </c>
      <c r="E5" s="43">
        <f t="shared" ref="E5:E6" si="0">C5*C$2+D5*D$2</f>
        <v>6.0749999999999993</v>
      </c>
      <c r="G5" s="1"/>
    </row>
    <row r="6" spans="1:11" x14ac:dyDescent="0.25">
      <c r="A6" s="5">
        <v>3</v>
      </c>
      <c r="B6" s="32" t="s">
        <v>97</v>
      </c>
      <c r="C6" s="6">
        <f>EVALUACION1!$C$24</f>
        <v>6.1</v>
      </c>
      <c r="D6" s="6">
        <f>C58</f>
        <v>6</v>
      </c>
      <c r="E6" s="43">
        <f t="shared" si="0"/>
        <v>6.0749999999999993</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c r="E13" s="16" t="str">
        <f>IF(D13="X",100*0.1,"")</f>
        <v/>
      </c>
      <c r="F13" s="16" t="s">
        <v>98</v>
      </c>
      <c r="G13" s="16">
        <f>IF(F13="X",60*0.1,"")</f>
        <v>6</v>
      </c>
      <c r="H13" s="16" t="str">
        <f t="shared" ref="H13:H16" si="1">IF($C13=ML,"X","")</f>
        <v/>
      </c>
      <c r="I13" s="16" t="str">
        <f>IF(H13="X",30*0.1,"")</f>
        <v/>
      </c>
      <c r="J13" s="16" t="str">
        <f t="shared" ref="J13:J16" si="2">IF($C13=NL,"X","")</f>
        <v/>
      </c>
      <c r="K13" s="16" t="str">
        <f t="shared" ref="K13:K16" si="3">IF($J13="X",0,"")</f>
        <v/>
      </c>
    </row>
    <row r="14" spans="1:11" ht="26.45" customHeight="1" outlineLevel="1" x14ac:dyDescent="0.25">
      <c r="A14" s="65"/>
      <c r="B14" s="35" t="str">
        <f>RUBRICA!A6</f>
        <v>2. Relaciona el Proyecto APT con las competencias del perfil de egreso de su Plan de Estudio.</v>
      </c>
      <c r="C14" s="33" t="s">
        <v>7</v>
      </c>
      <c r="D14" s="16"/>
      <c r="E14" s="16" t="str">
        <f t="shared" ref="E14" si="4">IF(D14="X",100*0.05,"")</f>
        <v/>
      </c>
      <c r="F14" s="16" t="s">
        <v>98</v>
      </c>
      <c r="G14" s="16">
        <f t="shared" ref="G14" si="5">IF(F14="X",60*0.05,"")</f>
        <v>3</v>
      </c>
      <c r="H14" s="16" t="str">
        <f t="shared" si="1"/>
        <v/>
      </c>
      <c r="I14" s="16" t="str">
        <f t="shared" ref="I14" si="6">IF(H14="X",30*0.05,"")</f>
        <v/>
      </c>
      <c r="J14" s="16" t="str">
        <f t="shared" si="2"/>
        <v/>
      </c>
      <c r="K14" s="16" t="str">
        <f t="shared" si="3"/>
        <v/>
      </c>
    </row>
    <row r="15" spans="1:11" ht="24" outlineLevel="1" x14ac:dyDescent="0.25">
      <c r="A15" s="65"/>
      <c r="B15" s="35" t="str">
        <f>RUBRICA!A8</f>
        <v xml:space="preserve">4.  Argumenta por qué el proyecto es factible de realizarse en el marco de la asignatura. </v>
      </c>
      <c r="C15" s="33" t="s">
        <v>7</v>
      </c>
      <c r="D15" s="16"/>
      <c r="E15" s="16" t="str">
        <f t="shared" ref="E15:E21" si="7">IF(D15="X",100*0.05,"")</f>
        <v/>
      </c>
      <c r="F15" s="16" t="s">
        <v>98</v>
      </c>
      <c r="G15" s="16">
        <f t="shared" ref="G15:G21" si="8">IF(F15="X",60*0.05,"")</f>
        <v>3</v>
      </c>
      <c r="H15" s="16" t="str">
        <f t="shared" si="1"/>
        <v/>
      </c>
      <c r="I15" s="16" t="str">
        <f t="shared" ref="I15:I21" si="9">IF(H15="X",30*0.05,"")</f>
        <v/>
      </c>
      <c r="J15" s="16" t="str">
        <f t="shared" si="2"/>
        <v/>
      </c>
      <c r="K15" s="16" t="str">
        <f t="shared" si="3"/>
        <v/>
      </c>
    </row>
    <row r="16" spans="1:11" ht="24" outlineLevel="1" x14ac:dyDescent="0.25">
      <c r="A16" s="65"/>
      <c r="B16" s="35" t="str">
        <f>RUBRICA!A9</f>
        <v xml:space="preserve">5. Formula objetivos claros, concisos y coherentes con la disciplina y la situación a abordar. </v>
      </c>
      <c r="C16" s="33" t="s">
        <v>7</v>
      </c>
      <c r="D16" s="16" t="str">
        <f t="shared" ref="D13:D16" si="10">IF($C16=CL,"X","")</f>
        <v>X</v>
      </c>
      <c r="E16" s="16">
        <f>IF(D16="X",100*0.05,"")</f>
        <v>5</v>
      </c>
      <c r="F16" s="16" t="str">
        <f t="shared" ref="F13:F16" si="11">IF($C16=L,"X","")</f>
        <v/>
      </c>
      <c r="G16" s="16" t="str">
        <f>IF(F16="X",60*0.05,"")</f>
        <v/>
      </c>
      <c r="H16" s="16" t="str">
        <f t="shared" si="1"/>
        <v/>
      </c>
      <c r="I16" s="16" t="str">
        <f>IF(H16="X",30*0.05,"")</f>
        <v/>
      </c>
      <c r="J16" s="16" t="str">
        <f t="shared" si="2"/>
        <v/>
      </c>
      <c r="K16" s="16" t="str">
        <f t="shared" si="3"/>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8"/>
        <v/>
      </c>
      <c r="H20" s="16" t="str">
        <f t="shared" si="16"/>
        <v/>
      </c>
      <c r="I20" s="16" t="str">
        <f t="shared" si="9"/>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7"/>
        <v>5</v>
      </c>
      <c r="F21" s="16" t="str">
        <f t="shared" si="14"/>
        <v/>
      </c>
      <c r="G21" s="16" t="str">
        <f t="shared" si="8"/>
        <v/>
      </c>
      <c r="H21" s="16" t="str">
        <f t="shared" si="16"/>
        <v/>
      </c>
      <c r="I21" s="16" t="str">
        <f t="shared" si="9"/>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1"/>
      <c r="B23" s="34" t="s">
        <v>11</v>
      </c>
      <c r="C23" s="37">
        <f>E23+G23+I23+K23</f>
        <v>62</v>
      </c>
      <c r="D23" s="19"/>
      <c r="E23" s="19">
        <f>SUM(E13:E22)</f>
        <v>50</v>
      </c>
      <c r="F23" s="19"/>
      <c r="G23" s="19">
        <f>SUM(G13:G22)</f>
        <v>12</v>
      </c>
      <c r="H23" s="19"/>
      <c r="I23" s="19">
        <f>SUM(I13:I22)</f>
        <v>0</v>
      </c>
      <c r="J23" s="19"/>
      <c r="K23" s="19">
        <f>SUM(K13:K22)</f>
        <v>0</v>
      </c>
    </row>
    <row r="24" spans="1:11" ht="15.75" customHeight="1" outlineLevel="1" x14ac:dyDescent="0.3">
      <c r="A24" s="50"/>
      <c r="B24" s="36" t="s">
        <v>12</v>
      </c>
      <c r="C24" s="20">
        <f>VLOOKUP(C23,ESCALA_IEP!A2:B142,2,FALSE)</f>
        <v>6.1</v>
      </c>
    </row>
    <row r="25" spans="1:11" ht="15.75" customHeight="1" x14ac:dyDescent="0.25"/>
    <row r="26" spans="1:11" ht="15.75" customHeight="1" x14ac:dyDescent="0.25"/>
    <row r="27" spans="1:11" ht="15.75" customHeight="1" x14ac:dyDescent="0.25">
      <c r="A27" s="60" t="s">
        <v>13</v>
      </c>
      <c r="B27" s="49" t="s">
        <v>14</v>
      </c>
      <c r="C27" s="52" t="str">
        <f>$B$4</f>
        <v>Gutierrez</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c r="E31" s="16" t="str">
        <f>IF(D31="X",100*0.1,"")</f>
        <v/>
      </c>
      <c r="F31" s="16" t="s">
        <v>98</v>
      </c>
      <c r="G31" s="16">
        <f>IF(F31="X",60*0.1,"")</f>
        <v>6</v>
      </c>
      <c r="H31" s="16" t="str">
        <f t="shared" ref="H31:H32" si="25">IF($C31=ML,"X","")</f>
        <v/>
      </c>
      <c r="I31" s="16" t="str">
        <f>IF(H31="X",30*0.1,"")</f>
        <v/>
      </c>
      <c r="J31" s="16" t="str">
        <f t="shared" ref="J31:J32" si="26">IF($C31=NL,"X","")</f>
        <v/>
      </c>
      <c r="K31" s="16" t="str">
        <f t="shared" ref="K31:K32" si="27">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ref="D31:D32" si="28">IF($C32=CL,"X","")</f>
        <v>X</v>
      </c>
      <c r="E32" s="16">
        <f>IF(D32="X",100*0.1,"")</f>
        <v>10</v>
      </c>
      <c r="F32" s="16" t="str">
        <f t="shared" ref="F31:F32" si="29">IF($C32=L,"X","")</f>
        <v/>
      </c>
      <c r="G32" s="16" t="str">
        <f>IF(F32="X",60*0.1,"")</f>
        <v/>
      </c>
      <c r="H32" s="16" t="str">
        <f t="shared" si="25"/>
        <v/>
      </c>
      <c r="I32" s="16" t="str">
        <f>IF(H32="X",30*0.1,"")</f>
        <v/>
      </c>
      <c r="J32" s="16" t="str">
        <f t="shared" si="26"/>
        <v/>
      </c>
      <c r="K32" s="16" t="str">
        <f t="shared" si="27"/>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cribillero</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c r="E43" s="16" t="str">
        <f>IF(D43="X",100*0.1,"")</f>
        <v/>
      </c>
      <c r="F43" s="16" t="s">
        <v>98</v>
      </c>
      <c r="G43" s="16">
        <f>IF(F43="X",60*0.1,"")</f>
        <v>6</v>
      </c>
      <c r="H43" s="16" t="str">
        <f t="shared" ref="H43:H44" si="31">IF($C43=ML,"X","")</f>
        <v/>
      </c>
      <c r="I43" s="16" t="str">
        <f>IF(H43="X",30*0.1,"")</f>
        <v/>
      </c>
      <c r="J43" s="16" t="str">
        <f t="shared" ref="J43:J44" si="32">IF($C43=NL,"X","")</f>
        <v/>
      </c>
      <c r="K43" s="16" t="str">
        <f t="shared" ref="K43:K44" si="33">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ref="D43:D44" si="34">IF($C44=CL,"X","")</f>
        <v>X</v>
      </c>
      <c r="E44" s="16">
        <f>IF(D44="X",100*0.1,"")</f>
        <v>10</v>
      </c>
      <c r="F44" s="16" t="str">
        <f t="shared" ref="F43:F44" si="35">IF($C44=L,"X","")</f>
        <v/>
      </c>
      <c r="G44" s="16" t="str">
        <f>IF(F44="X",60*0.1,"")</f>
        <v/>
      </c>
      <c r="H44" s="16" t="str">
        <f t="shared" si="31"/>
        <v/>
      </c>
      <c r="I44" s="16" t="str">
        <f>IF(H44="X",30*0.1,"")</f>
        <v/>
      </c>
      <c r="J44" s="16" t="str">
        <f t="shared" si="32"/>
        <v/>
      </c>
      <c r="K44" s="16" t="str">
        <f t="shared" si="33"/>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 xml:space="preserve">lopez </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c r="E54" s="16" t="str">
        <f>IF(D54="X",100*0.1,"")</f>
        <v/>
      </c>
      <c r="F54" s="16" t="s">
        <v>98</v>
      </c>
      <c r="G54" s="16">
        <f>IF(F54="X",60*0.1,"")</f>
        <v>6</v>
      </c>
      <c r="H54" s="16" t="str">
        <f t="shared" ref="H54:H55" si="39">IF($C54=ML,"X","")</f>
        <v/>
      </c>
      <c r="I54" s="16" t="str">
        <f>IF(H54="X",30*0.1,"")</f>
        <v/>
      </c>
      <c r="J54" s="16" t="str">
        <f t="shared" ref="J54:J55" si="40">IF($C54=NL,"X","")</f>
        <v/>
      </c>
      <c r="K54" s="16" t="str">
        <f t="shared" ref="K54:K55" si="41">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ref="D54:D55" si="42">IF($C55=CL,"X","")</f>
        <v>X</v>
      </c>
      <c r="E55" s="16">
        <f>IF(D55="X",100*0.1,"")</f>
        <v>10</v>
      </c>
      <c r="F55" s="16" t="str">
        <f t="shared" ref="F54:F55" si="43">IF($C55=L,"X","")</f>
        <v/>
      </c>
      <c r="G55" s="16" t="str">
        <f>IF(F55="X",60*0.1,"")</f>
        <v/>
      </c>
      <c r="H55" s="16" t="str">
        <f t="shared" si="39"/>
        <v/>
      </c>
      <c r="I55" s="16" t="str">
        <f>IF(H55="X",30*0.1,"")</f>
        <v/>
      </c>
      <c r="J55" s="16" t="str">
        <f t="shared" si="40"/>
        <v/>
      </c>
      <c r="K55" s="16" t="str">
        <f t="shared" si="41"/>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26</v>
      </c>
      <c r="D57" s="19">
        <f>COUNTIF(D55:D56,"X")</f>
        <v>2</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Cindy Contador</cp:lastModifiedBy>
  <cp:revision/>
  <dcterms:created xsi:type="dcterms:W3CDTF">2023-08-07T04:08:01Z</dcterms:created>
  <dcterms:modified xsi:type="dcterms:W3CDTF">2025-09-20T16:47:36Z</dcterms:modified>
  <cp:category/>
  <cp:contentStatus/>
</cp:coreProperties>
</file>